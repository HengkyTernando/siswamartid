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ck Box Testing" sheetId="1" state="visible" r:id="rId1"/>
    <sheet name="Ringkasan" sheetId="2" state="visible" r:id="rId2"/>
  </sheets>
  <definedNames>
    <definedName name="_xlnm._FilterDatabase" localSheetId="0" hidden="1">'Black Box Testing'!$A$4:$H$42</definedName>
    <definedName name="_xlnm.Print_Titles" localSheetId="0">'Black Box Testing'!$1:$4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526174"/>
      <sz val="10"/>
    </font>
    <font>
      <name val="Aptos"/>
      <b val="1"/>
      <color rgb="00FFFFFF"/>
      <sz val="10"/>
    </font>
    <font>
      <name val="Aptos"/>
      <color rgb="00233044"/>
      <sz val="10"/>
    </font>
    <font>
      <name val="Aptos"/>
      <b val="1"/>
      <color rgb="00FFFFFF"/>
      <sz val="11"/>
    </font>
    <font>
      <name val="Aptos"/>
      <b val="1"/>
      <color rgb="00233044"/>
      <sz val="11"/>
    </font>
    <font>
      <name val="Aptos"/>
      <color rgb="00233044"/>
      <sz val="11"/>
    </font>
  </fonts>
  <fills count="5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66A00"/>
      </patternFill>
    </fill>
    <fill>
      <patternFill patternType="solid">
        <fgColor rgb="00F5F8FC"/>
      </patternFill>
    </fill>
  </fills>
  <borders count="6">
    <border>
      <left/>
      <right/>
      <top/>
      <bottom/>
      <diagonal/>
    </border>
    <border>
      <left style="thin">
        <color rgb="00CFD7E2"/>
      </left>
      <right style="thin">
        <color rgb="00CFD7E2"/>
      </right>
      <top style="thin">
        <color rgb="00CFD7E2"/>
      </top>
      <bottom style="thin">
        <color rgb="00CFD7E2"/>
      </bottom>
    </border>
    <border>
      <left/>
      <right/>
      <top style="thin">
        <color rgb="00CFD7E2"/>
      </top>
      <bottom/>
      <diagonal/>
    </border>
    <border>
      <left/>
      <right style="thin">
        <color rgb="00CFD7E2"/>
      </right>
      <top style="thin">
        <color rgb="00CFD7E2"/>
      </top>
      <bottom/>
      <diagonal/>
    </border>
    <border>
      <left/>
      <right/>
      <top style="thin">
        <color rgb="00CFD7E2"/>
      </top>
      <bottom style="thin">
        <color rgb="00CFD7E2"/>
      </bottom>
      <diagonal/>
    </border>
    <border>
      <left/>
      <right style="thin">
        <color rgb="00CFD7E2"/>
      </right>
      <top style="thin">
        <color rgb="00CFD7E2"/>
      </top>
      <bottom style="thin">
        <color rgb="00CFD7E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9" fontId="7" fillId="4" borderId="1" applyAlignment="1" pivotButton="0" quotePrefix="0" xfId="0">
      <alignment horizontal="center" vertical="center"/>
    </xf>
    <xf numFmtId="0" fontId="5" fillId="2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8">
    <dxf>
      <font>
        <b val="1"/>
        <color rgb="0038761D"/>
      </font>
      <fill>
        <patternFill patternType="solid">
          <fgColor rgb="00D9EAD3"/>
        </patternFill>
      </fill>
    </dxf>
    <dxf>
      <font>
        <b val="1"/>
        <color rgb="00990000"/>
      </font>
      <fill>
        <patternFill patternType="solid">
          <fgColor rgb="00F4CCCC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BlackBoxCases" displayName="BlackBoxCases" ref="A4:H42" headerRowCount="1">
  <autoFilter ref="A4:G42"/>
  <tableColumns count="7">
    <tableColumn id="1" name="No"/>
    <tableColumn id="2" name="IDTest"/>
    <tableColumn id="3" name="Feature"/>
    <tableColumn id="4" name="Skenario"/>
    <tableColumn id="5" name="Data Input"/>
    <tableColumn id="6" name="Langkah Pengujian"/>
    <tableColumn id="7" name="Hasil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zoomScale="8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7" customWidth="1" min="3" max="3"/>
    <col width="43" customWidth="1" min="4" max="4"/>
    <col width="46" customWidth="1" min="5" max="5"/>
    <col width="64" customWidth="1" min="6" max="6"/>
    <col width="54" customWidth="1" min="7" max="7"/>
    <col width="19" customWidth="1" min="8" max="8"/>
  </cols>
  <sheetData>
    <row r="1" ht="32" customHeight="1">
      <c r="A1" s="1" t="inlineStr">
        <is>
          <t>TABEL PENGUJIAN BLACK BOX SISWAMART</t>
        </is>
      </c>
    </row>
    <row r="2" ht="28" customHeight="1">
      <c r="A2" s="2" t="inlineStr">
        <is>
          <t>Kasus diturunkan dari route, controller, validasi, model/migration, middleware, Blade/JavaScript dan test yang ditemukan. Isi hasil aktual setelah pengujian, lalu pilih status pada kolom Status.</t>
        </is>
      </c>
    </row>
    <row r="4" ht="25" customHeight="1">
      <c r="A4" s="3" t="inlineStr">
        <is>
          <t>No</t>
        </is>
      </c>
      <c r="B4" s="3" t="inlineStr">
        <is>
          <t>IDTest</t>
        </is>
      </c>
      <c r="C4" s="3" t="inlineStr">
        <is>
          <t>Feature</t>
        </is>
      </c>
      <c r="D4" s="3" t="inlineStr">
        <is>
          <t>Skenario</t>
        </is>
      </c>
      <c r="E4" s="3" t="inlineStr">
        <is>
          <t>Data Input</t>
        </is>
      </c>
      <c r="F4" s="3" t="inlineStr">
        <is>
          <t>Langkah Pengujian</t>
        </is>
      </c>
      <c r="G4" s="3" t="inlineStr">
        <is>
          <t>Hasil Aktual / Catatan</t>
        </is>
      </c>
      <c r="H4" s="3" t="inlineStr">
        <is>
          <t>Status</t>
        </is>
      </c>
    </row>
    <row r="5" ht="62" customHeight="1">
      <c r="A5" s="4" t="n">
        <v>1</v>
      </c>
      <c r="B5" s="4" t="inlineStr">
        <is>
          <t>TC-001</t>
        </is>
      </c>
      <c r="C5" s="5" t="inlineStr">
        <is>
          <t>Beranda publik</t>
        </is>
      </c>
      <c r="D5" s="5" t="inlineStr">
        <is>
          <t>Memuat beranda dan konten katalog aktif</t>
        </is>
      </c>
      <c r="E5" s="5" t="inlineStr">
        <is>
          <t>Tidak ada input; data berisi beberapa kategori dan produk aktif/nonaktif.</t>
        </is>
      </c>
      <c r="F5" s="5" t="inlineStr">
        <is>
          <t>Buka GET /. Periksa beranda, kategori, produk unggulan; pastikan produk selain status aktif tidak muncul.</t>
        </is>
      </c>
      <c r="G5" s="4" t="inlineStr">
        <is>
          <t>Lulus parsial: beranda, kategori, dan 4 produk tampil; data produk nonaktif tidak dapat dibandingkan.</t>
        </is>
      </c>
      <c r="H5" s="4" t="inlineStr">
        <is>
          <t>Lulus Parsial</t>
        </is>
      </c>
    </row>
    <row r="6" ht="62" customHeight="1">
      <c r="A6" s="6" t="n">
        <v>2</v>
      </c>
      <c r="B6" s="6" t="inlineStr">
        <is>
          <t>TC-002</t>
        </is>
      </c>
      <c r="C6" s="7" t="inlineStr">
        <is>
          <t>Katalog publik</t>
        </is>
      </c>
      <c r="D6" s="7" t="inlineStr">
        <is>
          <t>Mencari produk berdasarkan nama, deskripsi, atau nama toko</t>
        </is>
      </c>
      <c r="E6" s="7" t="inlineStr">
        <is>
          <t>q=roti; siapkan produk aktif yang cocok serta produk nonaktif dengan istilah sama.</t>
        </is>
      </c>
      <c r="F6" s="7" t="inlineStr">
        <is>
          <t>Buka /produk?q=roti. Pastikan hasil cocok nama/deskripsi/nama toko dan produk nonaktif tidak ditampilkan.</t>
        </is>
      </c>
      <c r="G6" s="6" t="inlineStr">
        <is>
          <t>Lulus parsial: q=roti menghasilkan Cheeseburger karena deskripsinya menyebut roti; kecocokan nama/toko tidak diuji.</t>
        </is>
      </c>
      <c r="H6" s="6" t="inlineStr">
        <is>
          <t>Lulus Parsial</t>
        </is>
      </c>
    </row>
    <row r="7" ht="62" customHeight="1">
      <c r="A7" s="4" t="n">
        <v>3</v>
      </c>
      <c r="B7" s="4" t="inlineStr">
        <is>
          <t>TC-003</t>
        </is>
      </c>
      <c r="C7" s="5" t="inlineStr">
        <is>
          <t>Kategori dan filter produk</t>
        </is>
      </c>
      <c r="D7" s="5" t="inlineStr">
        <is>
          <t>Membuka kategori dan menyaring harga serta urutan</t>
        </is>
      </c>
      <c r="E7" s="5" t="inlineStr">
        <is>
          <t>Slug kategori yang ada; min_price=5000; max_price=25000; sort=termurah.</t>
        </is>
      </c>
      <c r="F7" s="5" t="inlineStr">
        <is>
          <t>Buka /kategori/{slug} dengan filter. Pastikan hasil kategori, produk aktif, rentang harga benar dan urut termurah.</t>
        </is>
      </c>
      <c r="G7" s="4" t="inlineStr">
        <is>
          <t>Lulus parsial: Dessert dan harga Rp5.000 sesuai filter; hanya 1 hasil sehingga urutan tidak teruji.</t>
        </is>
      </c>
      <c r="H7" s="4" t="inlineStr">
        <is>
          <t>Lulus Parsial</t>
        </is>
      </c>
    </row>
    <row r="8" ht="62" customHeight="1">
      <c r="A8" s="6" t="n">
        <v>4</v>
      </c>
      <c r="B8" s="6" t="inlineStr">
        <is>
          <t>TC-004</t>
        </is>
      </c>
      <c r="C8" s="7" t="inlineStr">
        <is>
          <t>Detail produk</t>
        </is>
      </c>
      <c r="D8" s="7" t="inlineStr">
        <is>
          <t>Membuka detail produk aktif dan menangani slug tidak aktif/tidak ada</t>
        </is>
      </c>
      <c r="E8" s="7" t="inlineStr">
        <is>
          <t>Slug produk aktif, nonaktif, dan acak.</t>
        </is>
      </c>
      <c r="F8" s="7" t="inlineStr">
        <is>
          <t>Buka /produk/{slug-aktif}; periksa detail/ulasan publik dan views bertambah. Untuk slug nonaktif/tidak ada, pastikan 404.</t>
        </is>
      </c>
      <c r="G8" s="6" t="inlineStr">
        <is>
          <t>Lulus parsial: slug acak menghasilkan 404; detail slug aktif dilewati karena kunjungan mencatat view.</t>
        </is>
      </c>
      <c r="H8" s="6" t="inlineStr">
        <is>
          <t>Lulus Parsial</t>
        </is>
      </c>
    </row>
    <row r="9" ht="62" customHeight="1">
      <c r="A9" s="4" t="n">
        <v>5</v>
      </c>
      <c r="B9" s="4" t="inlineStr">
        <is>
          <t>TC-005</t>
        </is>
      </c>
      <c r="C9" s="5" t="inlineStr">
        <is>
          <t>Kontak WhatsApp</t>
        </is>
      </c>
      <c r="D9" s="5" t="inlineStr">
        <is>
          <t>Mengalihkan pembeli ke WhatsApp dan mencatat interaksi</t>
        </is>
      </c>
      <c r="E9" s="5" t="inlineStr">
        <is>
          <t>Produk aktif dengan nomor penjual 081234567890.</t>
        </is>
      </c>
      <c r="F9" s="5" t="inlineStr">
        <is>
          <t>Buka /produk/{slug}/whatsapp. Pastikan dialihkan ke wa.me/6281234567890 dan interaksi tercatat; produk nonaktif tidak diproses.</t>
        </is>
      </c>
      <c r="G9" s="4" t="inlineStr">
        <is>
          <t>Tidak diuji: rute WhatsApp mencatat interaksi, di luar cakupan baca-saja.</t>
        </is>
      </c>
      <c r="H9" s="4" t="inlineStr">
        <is>
          <t>Tidak Diuji</t>
        </is>
      </c>
    </row>
    <row r="10" ht="62" customHeight="1">
      <c r="A10" s="6" t="n">
        <v>6</v>
      </c>
      <c r="B10" s="6" t="inlineStr">
        <is>
          <t>TC-006</t>
        </is>
      </c>
      <c r="C10" s="7" t="inlineStr">
        <is>
          <t>Ulasan publik web</t>
        </is>
      </c>
      <c r="D10" s="7" t="inlineStr">
        <is>
          <t>Mengirim ulasan tamu valid tanpa kata terlarang</t>
        </is>
      </c>
      <c r="E10" s="7" t="inlineStr">
        <is>
          <t>guest_username=Alya; rating=5; komentar=Rotinya enak.</t>
        </is>
      </c>
      <c r="F10" s="7" t="inlineStr">
        <is>
          <t>Kirim ulasan dari detail produk aktif. Periksa ulasan tersimpan dengan status approved/public-visible.</t>
        </is>
      </c>
      <c r="G10" s="6" t="n"/>
      <c r="H10" s="6" t="inlineStr">
        <is>
          <t>Belum Diuji</t>
        </is>
      </c>
    </row>
    <row r="11" ht="62" customHeight="1">
      <c r="A11" s="4" t="n">
        <v>7</v>
      </c>
      <c r="B11" s="4" t="inlineStr">
        <is>
          <t>TC-007</t>
        </is>
      </c>
      <c r="C11" s="5" t="inlineStr">
        <is>
          <t>Ulasan publik web</t>
        </is>
      </c>
      <c r="D11" s="5" t="inlineStr">
        <is>
          <t>Menolak data ulasan invalid dan membatasi frekuensi kirim</t>
        </is>
      </c>
      <c r="E11" s="5" t="inlineStr">
        <is>
          <t>rating=0/6; nama kosong atau 101 karakter; komentar 1001 karakter; lebih dari 3 kiriman per menit.</t>
        </is>
      </c>
      <c r="F11" s="5" t="inlineStr">
        <is>
          <t>Kirim setiap variasi invalid. Pastikan validasi menolak input; setelah melampaui batas throttle, pastikan request dibatasi.</t>
        </is>
      </c>
      <c r="G11" s="4" t="n"/>
      <c r="H11" s="4" t="inlineStr">
        <is>
          <t>Belum Diuji</t>
        </is>
      </c>
    </row>
    <row r="12" ht="62" customHeight="1">
      <c r="A12" s="6" t="n">
        <v>8</v>
      </c>
      <c r="B12" s="6" t="inlineStr">
        <is>
          <t>TC-008</t>
        </is>
      </c>
      <c r="C12" s="7" t="inlineStr">
        <is>
          <t>Login web</t>
        </is>
      </c>
      <c r="D12" s="7" t="inlineStr">
        <is>
          <t>Login akun aktif dan diarahkan sesuai role</t>
        </is>
      </c>
      <c r="E12" s="7" t="inlineStr">
        <is>
          <t>Email/password benar milik akun admin aktif; ulangi dengan akun penjual aktif.</t>
        </is>
      </c>
      <c r="F12" s="7" t="inlineStr">
        <is>
          <t>Buka /login dan login. Pastikan admin menuju dashboard admin dan penjual menuju dashboard penjual.</t>
        </is>
      </c>
      <c r="G12" s="6" t="n"/>
      <c r="H12" s="6" t="inlineStr">
        <is>
          <t>Belum Diuji</t>
        </is>
      </c>
    </row>
    <row r="13" ht="62" customHeight="1">
      <c r="A13" s="4" t="n">
        <v>9</v>
      </c>
      <c r="B13" s="4" t="inlineStr">
        <is>
          <t>TC-009</t>
        </is>
      </c>
      <c r="C13" s="5" t="inlineStr">
        <is>
          <t>Login web</t>
        </is>
      </c>
      <c r="D13" s="5" t="inlineStr">
        <is>
          <t>Menolak kredensial salah atau akun nonaktif</t>
        </is>
      </c>
      <c r="E13" s="5" t="inlineStr">
        <is>
          <t>Password salah; akun dengan is_active=false.</t>
        </is>
      </c>
      <c r="F13" s="5" t="inlineStr">
        <is>
          <t>Coba login dengan masing-masing data. Pastikan sesi tidak terbentuk; uji pembatasan setelah 5 kegagalan.</t>
        </is>
      </c>
      <c r="G13" s="4" t="n"/>
      <c r="H13" s="4" t="inlineStr">
        <is>
          <t>Belum Diuji</t>
        </is>
      </c>
    </row>
    <row r="14" ht="62" customHeight="1">
      <c r="A14" s="6" t="n">
        <v>10</v>
      </c>
      <c r="B14" s="6" t="inlineStr">
        <is>
          <t>TC-010</t>
        </is>
      </c>
      <c r="C14" s="7" t="inlineStr">
        <is>
          <t>Registrasi API</t>
        </is>
      </c>
      <c r="D14" s="7" t="inlineStr">
        <is>
          <t>Mendaftarkan akun penjual melalui API</t>
        </is>
      </c>
      <c r="E14" s="7" t="inlineStr">
        <is>
          <t>name=Rani Uji; email unik; password terkonfirmasi; nama_toko=Toko Uji; nomor_whatsapp=081234567890.</t>
        </is>
      </c>
      <c r="F14" s="7" t="inlineStr">
        <is>
          <t>POST /api/register. Periksa respons sukses, user/profil penjual terbentuk dan token dikembalikan.</t>
        </is>
      </c>
      <c r="G14" s="6" t="n"/>
      <c r="H14" s="6" t="inlineStr">
        <is>
          <t>Belum Diuji</t>
        </is>
      </c>
    </row>
    <row r="15" ht="62" customHeight="1">
      <c r="A15" s="4" t="n">
        <v>11</v>
      </c>
      <c r="B15" s="4" t="inlineStr">
        <is>
          <t>TC-011</t>
        </is>
      </c>
      <c r="C15" s="5" t="inlineStr">
        <is>
          <t>Logout web</t>
        </is>
      </c>
      <c r="D15" s="5" t="inlineStr">
        <is>
          <t>Mengakhiri sesi pengguna web</t>
        </is>
      </c>
      <c r="E15" s="5" t="inlineStr">
        <is>
          <t>Sesi admin/penjual aktif.</t>
        </is>
      </c>
      <c r="F15" s="5" t="inlineStr">
        <is>
          <t>POST /logout dengan sesi aktif, lalu akses halaman terproteksi. Pastikan sesi berakhir dan diminta login.</t>
        </is>
      </c>
      <c r="G15" s="4" t="n"/>
      <c r="H15" s="4" t="inlineStr">
        <is>
          <t>Belum Diuji</t>
        </is>
      </c>
    </row>
    <row r="16" ht="62" customHeight="1">
      <c r="A16" s="6" t="n">
        <v>12</v>
      </c>
      <c r="B16" s="6" t="inlineStr">
        <is>
          <t>TC-012</t>
        </is>
      </c>
      <c r="C16" s="7" t="inlineStr">
        <is>
          <t>Profil web</t>
        </is>
      </c>
      <c r="D16" s="7" t="inlineStr">
        <is>
          <t>Memperbarui nama dan email yang belum digunakan</t>
        </is>
      </c>
      <c r="E16" s="7" t="inlineStr">
        <is>
          <t>Sesi aktif; name=Rani Baru; email baru unik.</t>
        </is>
      </c>
      <c r="F16" s="7" t="inlineStr">
        <is>
          <t>Buka /profile dan simpan. Pastikan data berubah dan verifikasi email direset bila email berubah.</t>
        </is>
      </c>
      <c r="G16" s="6" t="n"/>
      <c r="H16" s="6" t="inlineStr">
        <is>
          <t>Belum Diuji</t>
        </is>
      </c>
    </row>
    <row r="17" ht="62" customHeight="1">
      <c r="A17" s="4" t="n">
        <v>13</v>
      </c>
      <c r="B17" s="4" t="inlineStr">
        <is>
          <t>TC-013</t>
        </is>
      </c>
      <c r="C17" s="5" t="inlineStr">
        <is>
          <t>Penghapusan akun</t>
        </is>
      </c>
      <c r="D17" s="5" t="inlineStr">
        <is>
          <t>Meminta penghapusan akun dengan password saat ini</t>
        </is>
      </c>
      <c r="E17" s="5" t="inlineStr">
        <is>
          <t>Akun uji sekali pakai; password benar dan password salah.</t>
        </is>
      </c>
      <c r="F17" s="5" t="inlineStr">
        <is>
          <t>Pada akun disposable, uji hapus dengan password benar dan pastikan akun/sesi dihapus; password salah harus ditolak. Jangan gunakan akun operasional.</t>
        </is>
      </c>
      <c r="G17" s="4" t="n"/>
      <c r="H17" s="4" t="inlineStr">
        <is>
          <t>Belum Diuji</t>
        </is>
      </c>
    </row>
    <row r="18" ht="62" customHeight="1">
      <c r="A18" s="6" t="n">
        <v>14</v>
      </c>
      <c r="B18" s="6" t="inlineStr">
        <is>
          <t>TC-014</t>
        </is>
      </c>
      <c r="C18" s="7" t="inlineStr">
        <is>
          <t>Dashboard penjual</t>
        </is>
      </c>
      <c r="D18" s="7" t="inlineStr">
        <is>
          <t>Melihat ringkasan performa milik penjual yang login</t>
        </is>
      </c>
      <c r="E18" s="7" t="inlineStr">
        <is>
          <t>Sesi penjual dengan produk aktif/pending dan views.</t>
        </is>
      </c>
      <c r="F18" s="7" t="inlineStr">
        <is>
          <t>Buka /penjual/dashboard. Cocokkan jumlah produk, status, views, produk populer hanya dengan data penjual itu.</t>
        </is>
      </c>
      <c r="G18" s="6" t="n"/>
      <c r="H18" s="6" t="inlineStr">
        <is>
          <t>Belum Diuji</t>
        </is>
      </c>
    </row>
    <row r="19" ht="62" customHeight="1">
      <c r="A19" s="4" t="n">
        <v>15</v>
      </c>
      <c r="B19" s="4" t="inlineStr">
        <is>
          <t>TC-015</t>
        </is>
      </c>
      <c r="C19" s="5" t="inlineStr">
        <is>
          <t>Daftar produk penjual</t>
        </is>
      </c>
      <c r="D19" s="5" t="inlineStr">
        <is>
          <t>Menyaring produk sendiri berdasarkan status</t>
        </is>
      </c>
      <c r="E19" s="5" t="inlineStr">
        <is>
          <t>Sesi penjual; status=aktif, pending, atau ditolak; siapkan produk tiap status.</t>
        </is>
      </c>
      <c r="F19" s="5" t="inlineStr">
        <is>
          <t>Buka /penjual/produk dan pilih filter status. Pastikan hanya produk penjual tersebut dengan status terpilih muncul.</t>
        </is>
      </c>
      <c r="G19" s="4" t="n"/>
      <c r="H19" s="4" t="inlineStr">
        <is>
          <t>Belum Diuji</t>
        </is>
      </c>
    </row>
    <row r="20" ht="62" customHeight="1">
      <c r="A20" s="6" t="n">
        <v>16</v>
      </c>
      <c r="B20" s="6" t="inlineStr">
        <is>
          <t>TC-016</t>
        </is>
      </c>
      <c r="C20" s="7" t="inlineStr">
        <is>
          <t>Manajemen produk penjual</t>
        </is>
      </c>
      <c r="D20" s="7" t="inlineStr">
        <is>
          <t>Membuat produk valid untuk antrean moderasi</t>
        </is>
      </c>
      <c r="E20" s="7" t="inlineStr">
        <is>
          <t>nama=Roti Uji; kategori_id valid; deskripsi terisi; harga=15000; stok=tersedia; foto JPEG &lt;2 MB (opsional).</t>
        </is>
      </c>
      <c r="F20" s="7" t="inlineStr">
        <is>
          <t>Isi /penjual/produk/create dengan data valid dan simpan. Pastikan produk tersimpan milik penjual dan status pending.</t>
        </is>
      </c>
      <c r="G20" s="6" t="n"/>
      <c r="H20" s="6" t="inlineStr">
        <is>
          <t>Belum Diuji</t>
        </is>
      </c>
    </row>
    <row r="21" ht="62" customHeight="1">
      <c r="A21" s="4" t="n">
        <v>17</v>
      </c>
      <c r="B21" s="4" t="inlineStr">
        <is>
          <t>TC-017</t>
        </is>
      </c>
      <c r="C21" s="5" t="inlineStr">
        <is>
          <t>Manajemen produk penjual</t>
        </is>
      </c>
      <c r="D21" s="5" t="inlineStr">
        <is>
          <t>Menolak harga, kategori, stok, atau foto invalid</t>
        </is>
      </c>
      <c r="E21" s="5" t="inlineStr">
        <is>
          <t>kategori_id tidak ada; harga negatif/teks; stok selain tersedia|po|habis; file format tidak didukung atau &gt;2 MB.</t>
        </is>
      </c>
      <c r="F21" s="5" t="inlineStr">
        <is>
          <t>Kirim tiap variasi input melalui form produk. Pastikan validasi muncul dan produk tidak tersimpan.</t>
        </is>
      </c>
      <c r="G21" s="4" t="n"/>
      <c r="H21" s="4" t="inlineStr">
        <is>
          <t>Belum Diuji</t>
        </is>
      </c>
    </row>
    <row r="22" ht="62" customHeight="1">
      <c r="A22" s="6" t="n">
        <v>18</v>
      </c>
      <c r="B22" s="6" t="inlineStr">
        <is>
          <t>TC-018</t>
        </is>
      </c>
      <c r="C22" s="7" t="inlineStr">
        <is>
          <t>Manajemen produk penjual</t>
        </is>
      </c>
      <c r="D22" s="7" t="inlineStr">
        <is>
          <t>Memperbarui produk aktif/ditolak dan meminta moderasi ulang</t>
        </is>
      </c>
      <c r="E22" s="7" t="inlineStr">
        <is>
          <t>Produk milik sendiri berstatus aktif/ditolak; harga baru=17500; stok=tersedia.</t>
        </is>
      </c>
      <c r="F22" s="7" t="inlineStr">
        <is>
          <t>Edit dan simpan data valid. Pastikan perubahan tersimpan dan status berubah menjadi pending.</t>
        </is>
      </c>
      <c r="G22" s="6" t="n"/>
      <c r="H22" s="6" t="inlineStr">
        <is>
          <t>Belum Diuji</t>
        </is>
      </c>
    </row>
    <row r="23" ht="62" customHeight="1">
      <c r="A23" s="4" t="n">
        <v>19</v>
      </c>
      <c r="B23" s="4" t="inlineStr">
        <is>
          <t>TC-019</t>
        </is>
      </c>
      <c r="C23" s="5" t="inlineStr">
        <is>
          <t>Kepemilikan produk</t>
        </is>
      </c>
      <c r="D23" s="5" t="inlineStr">
        <is>
          <t>Mencegah penjual mengubah produk penjual lain</t>
        </is>
      </c>
      <c r="E23" s="5" t="inlineStr">
        <is>
          <t>Sesi penjual A; ID produk penjual B.</t>
        </is>
      </c>
      <c r="F23" s="5" t="inlineStr">
        <is>
          <t>Coba akses/edit/hapus produk B melalui route penjual. Pastikan akses ditolak (403) dan data tetap.</t>
        </is>
      </c>
      <c r="G23" s="4" t="n"/>
      <c r="H23" s="4" t="inlineStr">
        <is>
          <t>Belum Diuji</t>
        </is>
      </c>
    </row>
    <row r="24" ht="62" customHeight="1">
      <c r="A24" s="6" t="n">
        <v>20</v>
      </c>
      <c r="B24" s="6" t="inlineStr">
        <is>
          <t>TC-020</t>
        </is>
      </c>
      <c r="C24" s="7" t="inlineStr">
        <is>
          <t>Manajemen produk penjual</t>
        </is>
      </c>
      <c r="D24" s="7" t="inlineStr">
        <is>
          <t>Menghapus produk milik sendiri</t>
        </is>
      </c>
      <c r="E24" s="7" t="inlineStr">
        <is>
          <t>Sesi penjual dan produk uji milik akun tersebut.</t>
        </is>
      </c>
      <c r="F24" s="7" t="inlineStr">
        <is>
          <t>Hapus dari daftar produk. Pastikan produk tidak lagi muncul.</t>
        </is>
      </c>
      <c r="G24" s="6" t="n"/>
      <c r="H24" s="6" t="inlineStr">
        <is>
          <t>Belum Diuji</t>
        </is>
      </c>
    </row>
    <row r="25" ht="62" customHeight="1">
      <c r="A25" s="4" t="n">
        <v>21</v>
      </c>
      <c r="B25" s="4" t="inlineStr">
        <is>
          <t>TC-021</t>
        </is>
      </c>
      <c r="C25" s="5" t="inlineStr">
        <is>
          <t>Laporan penjual</t>
        </is>
      </c>
      <c r="D25" s="5" t="inlineStr">
        <is>
          <t>Menampilkan laporan views dan ulasan publik per minggu</t>
        </is>
      </c>
      <c r="E25" s="5" t="inlineStr">
        <is>
          <t>Sesi penjual; week_offset=0 dan -1; log views serta ulasan publik tersedia.</t>
        </is>
      </c>
      <c r="F25" s="5" t="inlineStr">
        <is>
          <t>Buka /penjual/laporan pada kedua offset. Periksa rentang Senin?Minggu, pembanding, grafik, dan produk populer sesuai data penjual.</t>
        </is>
      </c>
      <c r="G25" s="4" t="n"/>
      <c r="H25" s="4" t="inlineStr">
        <is>
          <t>Belum Diuji</t>
        </is>
      </c>
    </row>
    <row r="26" ht="62" customHeight="1">
      <c r="A26" s="6" t="n">
        <v>22</v>
      </c>
      <c r="B26" s="6" t="inlineStr">
        <is>
          <t>TC-022</t>
        </is>
      </c>
      <c r="C26" s="7" t="inlineStr">
        <is>
          <t>Dashboard admin dan otorisasi</t>
        </is>
      </c>
      <c r="D26" s="7" t="inlineStr">
        <is>
          <t>Mengizinkan admin dan menolak non-admin</t>
        </is>
      </c>
      <c r="E26" s="7" t="inlineStr">
        <is>
          <t>Sesi admin; sesi penjual; pengguna tamu.</t>
        </is>
      </c>
      <c r="F26" s="7" t="inlineStr">
        <is>
          <t>Buka /admin/dashboard sebagai admin dan pastikan tampil. Ulangi sebagai penjual/tamu; pastikan ditolak atau diarahkan login.</t>
        </is>
      </c>
      <c r="G26" s="6" t="n"/>
      <c r="H26" s="6" t="inlineStr">
        <is>
          <t>Belum Diuji</t>
        </is>
      </c>
    </row>
    <row r="27" ht="62" customHeight="1">
      <c r="A27" s="4" t="n">
        <v>23</v>
      </c>
      <c r="B27" s="4" t="inlineStr">
        <is>
          <t>TC-023</t>
        </is>
      </c>
      <c r="C27" s="5" t="inlineStr">
        <is>
          <t>Manajemen penjual admin</t>
        </is>
      </c>
      <c r="D27" s="5" t="inlineStr">
        <is>
          <t>Membuat akun penjual dengan data valid</t>
        </is>
      </c>
      <c r="E27" s="5" t="inlineStr">
        <is>
          <t>Email belum terpakai; password &gt;=8 karakter; nama toko; WhatsApp; nisn=0123456789; foto opsional &lt;=2 MB.</t>
        </is>
      </c>
      <c r="F27" s="5" t="inlineStr">
        <is>
          <t>Buat penjual melalui halaman admin. Pastikan user dan profil penjual tersimpan dengan benar.</t>
        </is>
      </c>
      <c r="G27" s="4" t="n"/>
      <c r="H27" s="4" t="inlineStr">
        <is>
          <t>Belum Diuji</t>
        </is>
      </c>
    </row>
    <row r="28" ht="62" customHeight="1">
      <c r="A28" s="6" t="n">
        <v>24</v>
      </c>
      <c r="B28" s="6" t="inlineStr">
        <is>
          <t>TC-024</t>
        </is>
      </c>
      <c r="C28" s="7" t="inlineStr">
        <is>
          <t>Manajemen penjual admin</t>
        </is>
      </c>
      <c r="D28" s="7" t="inlineStr">
        <is>
          <t>Menolak email/NISN duplikat atau NISN bukan 10 digit</t>
        </is>
      </c>
      <c r="E28" s="7" t="inlineStr">
        <is>
          <t>Email/NISN sudah ada; nisn=12345.</t>
        </is>
      </c>
      <c r="F28" s="7" t="inlineStr">
        <is>
          <t>Kirim tiap variasi invalid. Pastikan validasi gagal dan tidak membuat akun duplikat.</t>
        </is>
      </c>
      <c r="G28" s="6" t="n"/>
      <c r="H28" s="6" t="inlineStr">
        <is>
          <t>Belum Diuji</t>
        </is>
      </c>
    </row>
    <row r="29" ht="62" customHeight="1">
      <c r="A29" s="4" t="n">
        <v>25</v>
      </c>
      <c r="B29" s="4" t="inlineStr">
        <is>
          <t>TC-025</t>
        </is>
      </c>
      <c r="C29" s="5" t="inlineStr">
        <is>
          <t>Status penjual admin</t>
        </is>
      </c>
      <c r="D29" s="5" t="inlineStr">
        <is>
          <t>Mengaktifkan dan menonaktifkan akun penjual</t>
        </is>
      </c>
      <c r="E29" s="5" t="inlineStr">
        <is>
          <t>ID penjual yang ada dan status awal diketahui.</t>
        </is>
      </c>
      <c r="F29" s="5" t="inlineStr">
        <is>
          <t>Gunakan aksi toggle; periksa status berubah. Coba login setelah akun dinonaktifkan dan pastikan ditolak.</t>
        </is>
      </c>
      <c r="G29" s="4" t="n"/>
      <c r="H29" s="4" t="inlineStr">
        <is>
          <t>Belum Diuji</t>
        </is>
      </c>
    </row>
    <row r="30" ht="62" customHeight="1">
      <c r="A30" s="6" t="n">
        <v>26</v>
      </c>
      <c r="B30" s="6" t="inlineStr">
        <is>
          <t>TC-026</t>
        </is>
      </c>
      <c r="C30" s="7" t="inlineStr">
        <is>
          <t>Kategori admin</t>
        </is>
      </c>
      <c r="D30" s="7" t="inlineStr">
        <is>
          <t>Membuat dan memperbarui kategori menggunakan slug unik</t>
        </is>
      </c>
      <c r="E30" s="7" t="inlineStr">
        <is>
          <t>nama=Minuman Uji; slug=minuman-uji; data update dengan slug unik.</t>
        </is>
      </c>
      <c r="F30" s="7" t="inlineStr">
        <is>
          <t>Buat kategori lalu perbarui dari halaman admin. Pastikan data dan slug tersimpan sesuai validasi.</t>
        </is>
      </c>
      <c r="G30" s="6" t="n"/>
      <c r="H30" s="6" t="inlineStr">
        <is>
          <t>Belum Diuji</t>
        </is>
      </c>
    </row>
    <row r="31" ht="62" customHeight="1">
      <c r="A31" s="4" t="n">
        <v>27</v>
      </c>
      <c r="B31" s="4" t="inlineStr">
        <is>
          <t>TC-027</t>
        </is>
      </c>
      <c r="C31" s="5" t="inlineStr">
        <is>
          <t>Kategori admin</t>
        </is>
      </c>
      <c r="D31" s="5" t="inlineStr">
        <is>
          <t>Menolak kategori duplikat dan penghapusan kategori terpakai</t>
        </is>
      </c>
      <c r="E31" s="5" t="inlineStr">
        <is>
          <t>Nama/slug duplikat; kategori yang mempunyai produk terkait.</t>
        </is>
      </c>
      <c r="F31" s="5" t="inlineStr">
        <is>
          <t>Coba simpan duplikasi dan hapus kategori terpakai. Pastikan duplikasi ditolak dan kategori tidak terhapus.</t>
        </is>
      </c>
      <c r="G31" s="4" t="n"/>
      <c r="H31" s="4" t="inlineStr">
        <is>
          <t>Belum Diuji</t>
        </is>
      </c>
    </row>
    <row r="32" ht="62" customHeight="1">
      <c r="A32" s="6" t="n">
        <v>28</v>
      </c>
      <c r="B32" s="6" t="inlineStr">
        <is>
          <t>TC-028</t>
        </is>
      </c>
      <c r="C32" s="7" t="inlineStr">
        <is>
          <t>Moderasi produk admin</t>
        </is>
      </c>
      <c r="D32" s="7" t="inlineStr">
        <is>
          <t>Mengubah status produk aktif/pending/ditolak</t>
        </is>
      </c>
      <c r="E32" s="7" t="inlineStr">
        <is>
          <t>Produk pending; status=aktif lalu ditolak; alasan &lt;=500 karakter.</t>
        </is>
      </c>
      <c r="F32" s="7" t="inlineStr">
        <is>
          <t>Jalankan update-status dari admin. Periksa status, alasan dan visibilitas produk di katalog publik.</t>
        </is>
      </c>
      <c r="G32" s="6" t="n"/>
      <c r="H32" s="6" t="inlineStr">
        <is>
          <t>Belum Diuji</t>
        </is>
      </c>
    </row>
    <row r="33" ht="62" customHeight="1">
      <c r="A33" s="4" t="n">
        <v>29</v>
      </c>
      <c r="B33" s="4" t="inlineStr">
        <is>
          <t>TC-029</t>
        </is>
      </c>
      <c r="C33" s="5" t="inlineStr">
        <is>
          <t>Moderasi ulasan admin</t>
        </is>
      </c>
      <c r="D33" s="5" t="inlineStr">
        <is>
          <t>Menyetujui, menyensor, menolak/menyembunyikan, atau menghapus ulasan</t>
        </is>
      </c>
      <c r="E33" s="5" t="inlineStr">
        <is>
          <t>Ulasan pending; teks display_content untuk sensor.</t>
        </is>
      </c>
      <c r="F33" s="5" t="inlineStr">
        <is>
          <t>Jalankan aksi approve/censor/reject/hide/delete. Periksa status dan visibilitas publik; teks asli tetap ada setelah sensor.</t>
        </is>
      </c>
      <c r="G33" s="4" t="n"/>
      <c r="H33" s="4" t="inlineStr">
        <is>
          <t>Belum Diuji</t>
        </is>
      </c>
    </row>
    <row r="34" ht="62" customHeight="1">
      <c r="A34" s="6" t="n">
        <v>30</v>
      </c>
      <c r="B34" s="6" t="inlineStr">
        <is>
          <t>TC-030</t>
        </is>
      </c>
      <c r="C34" s="7" t="inlineStr">
        <is>
          <t>Filter komentar admin</t>
        </is>
      </c>
      <c r="D34" s="7" t="inlineStr">
        <is>
          <t>Mengelola bad word dan whitelist</t>
        </is>
      </c>
      <c r="E34" s="7" t="inlineStr">
        <is>
          <t>Bad word unik &lt;=50 karakter; severity=low|medium|high; whitelist unik &lt;=100 karakter.</t>
        </is>
      </c>
      <c r="F34" s="7" t="inlineStr">
        <is>
          <t>Tambah, ubah status, lalu hapus bad word/whitelist. Kirim ulasan yang cocok dan periksa hasil moderasi setelah cache diperbarui.</t>
        </is>
      </c>
      <c r="G34" s="6" t="n"/>
      <c r="H34" s="6" t="inlineStr">
        <is>
          <t>Belum Diuji</t>
        </is>
      </c>
    </row>
    <row r="35" ht="62" customHeight="1">
      <c r="A35" s="4" t="n">
        <v>31</v>
      </c>
      <c r="B35" s="4" t="inlineStr">
        <is>
          <t>TC-031</t>
        </is>
      </c>
      <c r="C35" s="5" t="inlineStr">
        <is>
          <t>Notifikasi admin</t>
        </is>
      </c>
      <c r="D35" s="5" t="inlineStr">
        <is>
          <t>Memeriksa notifikasi dan menandai satu/semua terbaca</t>
        </is>
      </c>
      <c r="E35" s="5" t="inlineStr">
        <is>
          <t>Sesi admin dengan notifikasi belum dibaca.</t>
        </is>
      </c>
      <c r="F35" s="5" t="inlineStr">
        <is>
          <t>Poll notifikasi, tandai satu dan baca-semua. Pastikan unread count berkurang dan notifikasi admin lain tidak terpengaruh.</t>
        </is>
      </c>
      <c r="G35" s="4" t="n"/>
      <c r="H35" s="4" t="inlineStr">
        <is>
          <t>Belum Diuji</t>
        </is>
      </c>
    </row>
    <row r="36" ht="62" customHeight="1">
      <c r="A36" s="6" t="n">
        <v>32</v>
      </c>
      <c r="B36" s="6" t="inlineStr">
        <is>
          <t>TC-032</t>
        </is>
      </c>
      <c r="C36" s="7" t="inlineStr">
        <is>
          <t>Login API</t>
        </is>
      </c>
      <c r="D36" s="7" t="inlineStr">
        <is>
          <t>Mendapatkan token Sanctum dengan kredensial valid</t>
        </is>
      </c>
      <c r="E36" s="7" t="inlineStr">
        <is>
          <t>Email/password akun aktif.</t>
        </is>
      </c>
      <c r="F36" s="7" t="inlineStr">
        <is>
          <t>POST /api/login. Pastikan respons sukses berisi token; gunakan Bearer token pada GET /api/user.</t>
        </is>
      </c>
      <c r="G36" s="6" t="n"/>
      <c r="H36" s="6" t="inlineStr">
        <is>
          <t>Belum Diuji</t>
        </is>
      </c>
    </row>
    <row r="37" ht="62" customHeight="1">
      <c r="A37" s="4" t="n">
        <v>33</v>
      </c>
      <c r="B37" s="4" t="inlineStr">
        <is>
          <t>TC-033</t>
        </is>
      </c>
      <c r="C37" s="5" t="inlineStr">
        <is>
          <t>Login API</t>
        </is>
      </c>
      <c r="D37" s="5" t="inlineStr">
        <is>
          <t>Menolak kredensial salah atau akun nonaktif</t>
        </is>
      </c>
      <c r="E37" s="5" t="inlineStr">
        <is>
          <t>Email/password salah; akun is_active=false.</t>
        </is>
      </c>
      <c r="F37" s="5" t="inlineStr">
        <is>
          <t>POST /api/login dengan input tersebut. Pastikan respons gagal dan token tidak dikembalikan.</t>
        </is>
      </c>
      <c r="G37" s="4" t="n"/>
      <c r="H37" s="4" t="inlineStr">
        <is>
          <t>Belum Diuji</t>
        </is>
      </c>
    </row>
    <row r="38" ht="62" customHeight="1">
      <c r="A38" s="6" t="n">
        <v>34</v>
      </c>
      <c r="B38" s="6" t="inlineStr">
        <is>
          <t>TC-034</t>
        </is>
      </c>
      <c r="C38" s="7" t="inlineStr">
        <is>
          <t>Katalog API</t>
        </is>
      </c>
      <c r="D38" s="7" t="inlineStr">
        <is>
          <t>Mencari produk dan memfilter kategori melalui API</t>
        </is>
      </c>
      <c r="E38" s="7" t="inlineStr">
        <is>
          <t>search=roti; category/category_id valid; sort=price_asc; per_page=100.</t>
        </is>
      </c>
      <c r="F38" s="7" t="inlineStr">
        <is>
          <t>GET /api/products dan /api/categories/{id}/products. Pastikan hanya produk aktif muncul dan per_page dibatasi maksimum 50.</t>
        </is>
      </c>
      <c r="G38" s="6" t="inlineStr">
        <is>
          <t>Lulus parsial: API GET produk/kategori 200; pencarian dan kategori berfungsi; per_page=100 dibatasi menjadi 50.</t>
        </is>
      </c>
      <c r="H38" s="6" t="inlineStr">
        <is>
          <t>Lulus Parsial</t>
        </is>
      </c>
    </row>
    <row r="39" ht="62" customHeight="1">
      <c r="A39" s="4" t="n">
        <v>35</v>
      </c>
      <c r="B39" s="4" t="inlineStr">
        <is>
          <t>TC-035</t>
        </is>
      </c>
      <c r="C39" s="5" t="inlineStr">
        <is>
          <t>Ulasan API</t>
        </is>
      </c>
      <c r="D39" s="5" t="inlineStr">
        <is>
          <t>Membaca dan mengirim ulasan publik melalui API</t>
        </is>
      </c>
      <c r="E39" s="5" t="inlineStr">
        <is>
          <t>guest_username=Alya; rating=5; comment=Bagus; uji rating=6 dan teks &gt;1000 karakter.</t>
        </is>
      </c>
      <c r="F39" s="5" t="inlineStr">
        <is>
          <t>GET /api/products/{id}/reviews, POST ulasan valid (pastikan 201), lalu kirim data invalid (pastikan 422); uji throttle 10/menit.</t>
        </is>
      </c>
      <c r="G39" s="4" t="inlineStr">
        <is>
          <t>Lulus parsial: GET ulasan 200; POST ulasan dan uji throttle dilewati agar tidak mengubah data.</t>
        </is>
      </c>
      <c r="H39" s="4" t="inlineStr">
        <is>
          <t>Lulus Parsial</t>
        </is>
      </c>
    </row>
    <row r="40" ht="62" customHeight="1">
      <c r="A40" s="6" t="n">
        <v>36</v>
      </c>
      <c r="B40" s="6" t="inlineStr">
        <is>
          <t>TC-036</t>
        </is>
      </c>
      <c r="C40" s="7" t="inlineStr">
        <is>
          <t>Profil API</t>
        </is>
      </c>
      <c r="D40" s="7" t="inlineStr">
        <is>
          <t>Memperbarui profil dengan token dan menolak email duplikat</t>
        </is>
      </c>
      <c r="E40" s="7" t="inlineStr">
        <is>
          <t>Bearer token valid; name=Rani; email unik lalu email sudah dipakai.</t>
        </is>
      </c>
      <c r="F40" s="7" t="inlineStr">
        <is>
          <t>GET/PATCH /api/profile. Pastikan profil berubah, email duplikat ditolak, dan request tanpa token tidak dapat mengakses profil.</t>
        </is>
      </c>
      <c r="G40" s="6" t="n"/>
      <c r="H40" s="6" t="inlineStr">
        <is>
          <t>Belum Diuji</t>
        </is>
      </c>
    </row>
    <row r="41" ht="62" customHeight="1">
      <c r="A41" s="4" t="n">
        <v>37</v>
      </c>
      <c r="B41" s="4" t="inlineStr">
        <is>
          <t>TC-037</t>
        </is>
      </c>
      <c r="C41" s="5" t="inlineStr">
        <is>
          <t>Notifikasi API</t>
        </is>
      </c>
      <c r="D41" s="5" t="inlineStr">
        <is>
          <t>Membaca dan menandai notifikasi API milik sendiri</t>
        </is>
      </c>
      <c r="E41" s="5" t="inlineStr">
        <is>
          <t>Bearer token; notifikasi milik pengguna yang login.</t>
        </is>
      </c>
      <c r="F41" s="5" t="inlineStr">
        <is>
          <t>GET /api/notifications; PATCH baca satu dan baca-semua. Pastikan data milik user lain tidak dapat dibaca/diubah.</t>
        </is>
      </c>
      <c r="G41" s="4" t="n"/>
      <c r="H41" s="4" t="inlineStr">
        <is>
          <t>Belum Diuji</t>
        </is>
      </c>
    </row>
    <row r="42" ht="62" customHeight="1">
      <c r="A42" s="6" t="n">
        <v>38</v>
      </c>
      <c r="B42" s="6" t="inlineStr">
        <is>
          <t>TC-038</t>
        </is>
      </c>
      <c r="C42" s="7" t="inlineStr">
        <is>
          <t>Route moderasi komentar</t>
        </is>
      </c>
      <c r="D42" s="7" t="inlineStr">
        <is>
          <t>Menangani request PATCH pada route komentar yang tidak didukung</t>
        </is>
      </c>
      <c r="E42" s="7" t="inlineStr">
        <is>
          <t>Sesi admin; ID ulasan ada; PATCH /admin/komentar/{ulasan}.</t>
        </is>
      </c>
      <c r="F42" s="7" t="inlineStr">
        <is>
          <t>Sebagai admin, kirim PATCH /admin/komentar/{ulasan}. Pastikan server menolak method yang tidak terdaftar (HTTP 405) dan data ulasan tidak berubah.</t>
        </is>
      </c>
      <c r="G42" s="6" t="n"/>
      <c r="H42" s="6" t="inlineStr">
        <is>
          <t>Belum Diuji</t>
        </is>
      </c>
    </row>
  </sheetData>
  <autoFilter ref="A4:H42"/>
  <mergeCells count="2">
    <mergeCell ref="A2:H2"/>
    <mergeCell ref="A1:H1"/>
  </mergeCells>
  <conditionalFormatting sqref="G5:G42">
    <cfRule type="expression" priority="1" dxfId="0">
      <formula>G5="Berhasil/Lulus"</formula>
    </cfRule>
    <cfRule type="expression" priority="2" dxfId="1">
      <formula>G5="Gagal"</formula>
    </cfRule>
    <cfRule type="expression" priority="3" dxfId="2">
      <formula>G5="Belum Diuji"</formula>
    </cfRule>
  </conditionalFormatting>
  <conditionalFormatting sqref="H5:H42">
    <cfRule type="expression" priority="4" dxfId="3">
      <formula>$H5="Berhasil/Lulus"</formula>
    </cfRule>
    <cfRule type="expression" priority="5" dxfId="4">
      <formula>$H5="Gagal"</formula>
    </cfRule>
    <cfRule type="expression" priority="6" dxfId="5">
      <formula>$H5="Lulus Parsial"</formula>
    </cfRule>
    <cfRule type="expression" priority="7" dxfId="6">
      <formula>$H5="Belum Diuji"</formula>
    </cfRule>
    <cfRule type="expression" priority="8" dxfId="7">
      <formula>$H5="Tidak Diuji"</formula>
    </cfRule>
  </conditionalFormatting>
  <dataValidations count="1">
    <dataValidation sqref="H5:H42" showDropDown="0" showInputMessage="0" showErrorMessage="0" allowBlank="0" errorTitle="Status tidak valid" error="Pilih salah satu status yang tersedia." promptTitle="Status pengujian" prompt="Pilih status hasil pengujian." type="list">
      <formula1>"Berhasil/Lulus,Gagal,Lulus Parsial,Belum Diuji,Tidak Diuji"</formula1>
    </dataValidation>
  </dataValidations>
  <pageMargins left="0.75" right="0.75" top="1" bottom="1" header="0.5" footer="0.5"/>
  <pageSetup orientation="landscape" paperSize="8" fitToHeight="0" fitToWidth="1"/>
  <headerFooter>
    <oddHeader>&amp;C&amp;B SiswaMart - Black Box Testing</oddHeader>
    <oddFooter>&amp;RHalaman &amp;P dari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22" customWidth="1" min="4" max="4"/>
  </cols>
  <sheetData>
    <row r="1" ht="32" customHeight="1">
      <c r="A1" s="1" t="inlineStr">
        <is>
          <t>RINGKASAN PENGUJIAN BLACK BOX SISWAMART</t>
        </is>
      </c>
    </row>
    <row r="3">
      <c r="A3" s="8" t="inlineStr">
        <is>
          <t>Status</t>
        </is>
      </c>
      <c r="B3" s="8" t="inlineStr">
        <is>
          <t>Jumlah</t>
        </is>
      </c>
    </row>
    <row r="4">
      <c r="A4" s="9" t="inlineStr">
        <is>
          <t>Total Test</t>
        </is>
      </c>
      <c r="B4" s="10">
        <f>COUNTA('Black Box Testing'!$B$5:$B$42)</f>
        <v/>
      </c>
    </row>
    <row r="5">
      <c r="A5" s="11" t="inlineStr">
        <is>
          <t>Berhasil/Lulus</t>
        </is>
      </c>
      <c r="B5" s="12">
        <f>COUNTIF('Black Box Testing'!$H$5:$H$42,"Berhasil/Lulus")</f>
        <v/>
      </c>
    </row>
    <row r="6">
      <c r="A6" s="9" t="inlineStr">
        <is>
          <t>Gagal</t>
        </is>
      </c>
      <c r="B6" s="10">
        <f>COUNTIF('Black Box Testing'!$H$5:$H$42,"Gagal")</f>
        <v/>
      </c>
    </row>
    <row r="7">
      <c r="A7" s="11" t="inlineStr">
        <is>
          <t>Lulus Parsial</t>
        </is>
      </c>
      <c r="B7" s="12">
        <f>COUNTIF('Black Box Testing'!$H$5:$H$42,"Lulus Parsial")</f>
        <v/>
      </c>
    </row>
    <row r="8">
      <c r="A8" s="9" t="inlineStr">
        <is>
          <t>Belum Diuji</t>
        </is>
      </c>
      <c r="B8" s="10">
        <f>COUNTIF('Black Box Testing'!$H$5:$H$42,"Belum Diuji")</f>
        <v/>
      </c>
    </row>
    <row r="9">
      <c r="A9" s="9" t="inlineStr">
        <is>
          <t>Tidak Diuji</t>
        </is>
      </c>
      <c r="B9" s="10">
        <f>COUNTIF('Black Box Testing'!$H$5:$H$42,"Tidak Diuji")</f>
        <v/>
      </c>
    </row>
    <row r="10">
      <c r="A10" s="9" t="inlineStr">
        <is>
          <t>Progress Pengujian</t>
        </is>
      </c>
      <c r="B10" s="13">
        <f>IF(B4=0,0,SUM(B5:B7)/B4)</f>
        <v/>
      </c>
    </row>
    <row r="11" ht="38" customHeight="1"/>
    <row r="12" ht="38" customHeight="1">
      <c r="A12" s="14" t="inlineStr">
        <is>
          <t>Catatan Audit Codebase</t>
        </is>
      </c>
    </row>
    <row r="13" ht="38" customHeight="1">
      <c r="A13" s="15" t="inlineStr">
        <is>
          <t>1. Kasus berasal dari route web/API, controller dan validasi, model/migration, middleware, Blade/JavaScript serta struktur test proyek.</t>
        </is>
      </c>
      <c r="B13" s="16" t="n"/>
      <c r="C13" s="16" t="n"/>
      <c r="D13" s="17" t="n"/>
    </row>
    <row r="14" ht="38" customHeight="1">
      <c r="A14" s="15" t="inlineStr">
        <is>
          <t>2. Ditemukan tests/Feature/Auth/GoogleLoginTest.php berisi 15 test; php artisan test --list-tests berhasil. Kasus Black Box pada sheet ini belum otomatis dianggap lulus tanpa pengujian fungsional.</t>
        </is>
      </c>
      <c r="B14" s="16" t="n"/>
      <c r="C14" s="16" t="n"/>
      <c r="D14" s="17" t="n"/>
    </row>
    <row r="15" ht="38" customHeight="1">
      <c r="A15" s="15" t="inlineStr">
        <is>
          <t>3. Route API cart terdaftar, tetapi handler GET/POST/PATCH/DELETE mengembalikan HTTP 501 dan menyatakan fitur belum tersedia; tidak dihitung sebagai fitur siap uji fungsional.</t>
        </is>
      </c>
      <c r="B15" s="16" t="n"/>
      <c r="C15" s="16" t="n"/>
      <c r="D15" s="17" t="n"/>
    </row>
    <row r="16">
      <c r="A16" s="15" t="inlineStr">
        <is>
          <t>4. Audit route:list menunjukkan admin/komentar hanya menyediakan GET dan DELETE; route PATCH tidak terdaftar dan KomentarController tidak memiliki method update. TC-038 menguji penolakan method PATCH.</t>
        </is>
      </c>
      <c r="B16" s="16" t="n"/>
      <c r="C16" s="16" t="n"/>
      <c r="D16" s="17" t="n"/>
    </row>
    <row r="17">
      <c r="A17" s="15" t="inlineStr">
        <is>
          <t>5. Gunakan akun dan data disposable untuk kasus penghapusan akun/produk. Kredensial operasional tidak dicantumkan.</t>
        </is>
      </c>
      <c r="B17" s="16" t="n"/>
      <c r="C17" s="16" t="n"/>
      <c r="D17" s="17" t="n"/>
    </row>
  </sheetData>
  <mergeCells count="7">
    <mergeCell ref="A1:D1"/>
    <mergeCell ref="A17:D17"/>
    <mergeCell ref="A12:D12"/>
    <mergeCell ref="A15:D15"/>
    <mergeCell ref="A16:D16"/>
    <mergeCell ref="A13:D13"/>
    <mergeCell ref="A14:D14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2026-10-07T03:49:09Z</dcterms:created>
  <dcterms:modified xsi:type="dcterms:W3CDTF">2026-10-20T23:53:11Z</dcterms:modified>
</cp:coreProperties>
</file>